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8_{AB324BC3-CD27-45D4-9510-978E890CC19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2" i="1" s="1"/>
  <c r="B18" i="1"/>
  <c r="B17" i="1"/>
  <c r="B16" i="1"/>
  <c r="B15" i="1"/>
  <c r="B14" i="1"/>
  <c r="B13" i="1"/>
  <c r="B7" i="1"/>
  <c r="B6" i="1"/>
  <c r="B5" i="1" s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<sst xmlns="http://schemas.openxmlformats.org/spreadsheetml/2006/main" count="166" uniqueCount="138">
  <si>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</si>
  <si>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</si>
  <si>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</si>
  <si>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</si>
  <si>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</si>
  <si>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</si>
  <si>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</si>
  <si>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</si>
  <si>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</si>
  <si>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</si>
  <si>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</si>
  <si>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</si>
  <si>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</si>
  <si>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</si>
  <si>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</si>
  <si>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</si>
  <si>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</si>
  <si>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</si>
  <si>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</si>
  <si>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</si>
  <si>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</si>
  <si>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</si>
  <si>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</si>
  <si>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</si>
  <si>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</si>
  <si>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</si>
  <si>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</si>
  <si>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</si>
  <si>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</si>
  <si>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</si>
  <si>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</si>
  <si>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</si>
  <si>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</si>
  <si>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</si>
  <si>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</si>
  <si>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</si>
  <si>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</si>
  <si>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</si>
  <si>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</si>
  <si>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</si>
  <si>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</si>
  <si>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</si>
  <si>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</si>
  <si>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</si>
  <si>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</si>
  <si>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</si>
  <si>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</si>
  <si>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</si>
  <si>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</si>
  <si>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</si>
  <si>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</si>
  <si>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</si>
  <si>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</si>
  <si>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</si>
  <si>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</si>
  <si>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</si>
  <si>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</si>
  <si>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</si>
  <si>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</si>
  <si>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</si>
  <si>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</si>
  <si>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</si>
  <si>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</si>
  <si>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</si>
  <si>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</si>
  <si>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</si>
  <si>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</si>
  <si>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</si>
  <si>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</si>
  <si>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</si>
  <si>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</si>
  <si>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</si>
  <si>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</si>
  <si>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</si>
  <si>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</si>
  <si>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</si>
  <si>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</si>
  <si>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</si>
  <si>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</si>
  <si>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</si>
  <si>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</si>
  <si>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</si>
  <si>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</si>
  <si>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</si>
  <si>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</si>
  <si>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</si>
  <si>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</si>
  <si>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</si>
  <si>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</si>
  <si>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</si>
  <si>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</si>
  <si>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</si>
  <si>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</si>
  <si>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</si>
  <si>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</si>
  <si>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</si>
  <si>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</si>
  <si>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</si>
  <si>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</si>
  <si>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</si>
  <si>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</si>
  <si>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</si>
  <si>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</si>
  <si>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</si>
  <si>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</si>
  <si>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</si>
  <si>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</si>
  <si>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</si>
  <si>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</si>
  <si>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</si>
  <si>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</si>
  <si>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</si>
  <si>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</si>
  <si>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</si>
  <si>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</si>
  <si>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</si>
  <si>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</si>
  <si>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</si>
  <si>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</si>
  <si>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</si>
  <si>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</si>
  <si>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</si>
  <si>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</si>
  <si>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</si>
  <si>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</si>
  <si>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</si>
  <si>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</si>
  <si>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</si>
  <si>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</si>
  <si>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</si>
  <si>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</si>
  <si>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</si>
  <si>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</si>
  <si>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</si>
  <si>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</si>
  <si>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</si>
  <si>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</si>
  <si>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body axis (FRL) moments of inertia, slug-ft2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</si>
</sst>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11"/>
      <name val="Calibri"/>
      <family val="2"/>
      <charset val="1"/>
    </font>
    <font>
      <sz val="22"/>
      <color rgb="FFFF0000"/>
      <name val="Calibri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A5A5A5"/>
        <bgColor rgb="FFC0C0C0"/>
      </patternFill>
    </fill>
    <fill>
      <patternFill patternType="solid">
        <fgColor rgb="FF0070C0"/>
        <bgColor rgb="FF00808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11" fontId="0" fillId="0" borderId="0" xfId="0" applyNumberFormat="1"/>
    <xf numFmtId="11" fontId="1" fillId="0" borderId="0" xfId="1" applyNumberFormat="1"/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/>
    </xf>
    <xf numFmtId="0" fontId="0" fillId="0" borderId="6" xfId="0" applyBorder="1" applyAlignment="1">
      <alignment horizontal="center"/>
    </xf>
    <xf numFmtId="0" fontId="4" fillId="3" borderId="0" xfId="1" applyFont="1" applyFill="1"/>
    <xf numFmtId="0" fontId="1" fillId="4" borderId="0" xfId="1" applyFill="1"/>
    <xf numFmtId="0" fontId="1" fillId="5" borderId="0" xfId="1" applyFill="1"/>
    <xf numFmtId="0" fontId="0" fillId="6" borderId="0" xfId="0" applyFill="1"/>
    <xf numFmtId="0" fontId="0" fillId="7" borderId="0" xfId="0" applyFill="1"/>
    <xf numFmtId="0" fontId="1" fillId="8" borderId="0" xfId="1" applyFill="1"/>
    <xf numFmtId="0" fontId="1" fillId="9" borderId="0" xfId="1" applyFill="1"/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730080</xdr:colOff>
      <xdr:row>61</xdr:row>
      <xdr:rowOff>31680</xdr:rowOff>
    </xdr:from>
    <xdr:to>
      <xdr:col>1</xdr:col>
      <xdr:colOff>1618200</xdr:colOff>
      <xdr:row>65</xdr:row>
      <xdr:rowOff>110160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ABC7AF4E-8551-42E8-9840-AE9A77743C19}"/>
            </a:ext>
          </a:extLst>
        </xdr:cNvPr>
        <xdr:cNvSpPr/>
      </xdr:nvSpPr>
      <xdr:spPr>
        <a:xfrm>
          <a:off x="2311230" y="11595030"/>
          <a:ext cx="830970" cy="1135755"/>
        </a:xfrm>
        <a:prstGeom prst="curvedConnector3">
          <a:avLst>
            <a:gd name="adj1" fmla="val 98214"/>
          </a:avLst>
        </a:prstGeom>
        <a:noFill/>
        <a:ln>
          <a:noFill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70" workbookViewId="0">
      <selection activeCell="D7" sqref="D7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3" t="s">
        <v>1</v>
      </c>
      <c r="C1" s="14" t="s">
        <v>6</v>
      </c>
      <c r="D1" s="14"/>
      <c r="E1" s="14"/>
    </row>
    <row r="2" spans="1:9" x14ac:dyDescent="0.25">
      <c r="A2" s="15" t="s">
        <v>2</v>
      </c>
      <c r="B2" s="1">
        <v>0.01</v>
      </c>
      <c r="C2" s="4" t="s">
        <v>7</v>
      </c>
      <c r="D2" t="s">
        <v>61</v>
      </c>
      <c r="E2" s="5">
        <v>20000</v>
      </c>
    </row>
    <row r="3" spans="1:9" x14ac:dyDescent="0.25">
      <c r="A3" s="15" t="s">
        <v>3</v>
      </c>
      <c r="B3" s="1">
        <v>200</v>
      </c>
      <c r="C3" s="4" t="s">
        <v>8</v>
      </c>
      <c r="D3" t="s">
        <v>60</v>
      </c>
      <c r="E3" s="6">
        <v>0.5</v>
      </c>
    </row>
    <row r="4" spans="1:9" x14ac:dyDescent="0.25">
      <c r="A4" s="15" t="s">
        <v>4</v>
      </c>
      <c r="B4" s="1">
        <v>0</v>
      </c>
      <c r="C4" s="4" t="s">
        <v>9</v>
      </c>
      <c r="D4" t="s">
        <v>62</v>
      </c>
      <c r="E4" s="6">
        <v>518</v>
      </c>
    </row>
    <row r="5" spans="1:9" x14ac:dyDescent="0.25">
      <c r="A5" s="16" t="s">
        <v>125</v>
      </c>
      <c r="B5" s="1">
        <f>SQRT(E4^2 - B6^2 - B7^2 )</f>
        <v>514.35613319918616</v>
      </c>
      <c r="C5" s="4" t="s">
        <v>10</v>
      </c>
      <c r="D5" t="s">
        <v>63</v>
      </c>
      <c r="E5" s="6">
        <v>307</v>
      </c>
    </row>
    <row r="6" spans="1:9" x14ac:dyDescent="0.25">
      <c r="A6" s="16" t="s">
        <v>126</v>
      </c>
      <c r="B6" s="1">
        <f>E4*SIN(B21)</f>
        <v>0</v>
      </c>
      <c r="C6" s="4" t="s">
        <v>11</v>
      </c>
      <c r="D6" t="s">
        <v>64</v>
      </c>
      <c r="E6" s="6">
        <v>228</v>
      </c>
    </row>
    <row r="7" spans="1:9" x14ac:dyDescent="0.25">
      <c r="A7" s="16" t="s">
        <v>127</v>
      </c>
      <c r="B7" s="1">
        <f>SQRT((E4^2 * TAN(B19)^2 * COS(B21)^2)/(1 + TAN(B19)^2))</f>
        <v>61.333255582767485</v>
      </c>
      <c r="C7" s="4" t="s">
        <v>12</v>
      </c>
      <c r="D7" t="s">
        <v>65</v>
      </c>
      <c r="E7" s="6">
        <v>636636</v>
      </c>
    </row>
    <row r="8" spans="1:9" x14ac:dyDescent="0.25">
      <c r="A8" s="16" t="s">
        <v>87</v>
      </c>
      <c r="B8" s="1">
        <v>0</v>
      </c>
      <c r="C8" s="4"/>
      <c r="E8" s="6"/>
    </row>
    <row r="9" spans="1:9" x14ac:dyDescent="0.25">
      <c r="A9" s="16" t="s">
        <v>88</v>
      </c>
      <c r="B9" s="1">
        <v>0</v>
      </c>
      <c r="C9" s="4" t="s">
        <v>13</v>
      </c>
      <c r="D9" s="12" t="s">
        <v>137</v>
      </c>
      <c r="E9" s="5">
        <v>18200000</v>
      </c>
    </row>
    <row r="10" spans="1:9" x14ac:dyDescent="0.25">
      <c r="A10" s="16" t="s">
        <v>89</v>
      </c>
      <c r="B10" s="1">
        <v>0</v>
      </c>
      <c r="C10" s="4" t="s">
        <v>14</v>
      </c>
      <c r="D10" s="12"/>
      <c r="E10" s="5">
        <v>33100000</v>
      </c>
    </row>
    <row r="11" spans="1:9" x14ac:dyDescent="0.25">
      <c r="A11" s="16" t="s">
        <v>84</v>
      </c>
      <c r="B11" s="1">
        <v>0</v>
      </c>
      <c r="C11" s="4" t="s">
        <v>15</v>
      </c>
      <c r="D11" s="12"/>
      <c r="E11" s="5">
        <v>49700000</v>
      </c>
    </row>
    <row r="12" spans="1:9" x14ac:dyDescent="0.25">
      <c r="A12" s="16" t="s">
        <v>85</v>
      </c>
      <c r="B12" s="3">
        <f>B19+B20</f>
        <v>0.11868238913561441</v>
      </c>
      <c r="C12" s="4" t="s">
        <v>16</v>
      </c>
      <c r="D12" s="12"/>
      <c r="E12" s="5">
        <v>970056</v>
      </c>
    </row>
    <row r="13" spans="1:9" x14ac:dyDescent="0.25">
      <c r="A13" s="16" t="s">
        <v>86</v>
      </c>
      <c r="B13" s="1">
        <f>0</f>
        <v>0</v>
      </c>
      <c r="C13" s="4" t="s">
        <v>17</v>
      </c>
      <c r="D13" t="s">
        <v>66</v>
      </c>
      <c r="E13" s="5">
        <v>-1.76</v>
      </c>
    </row>
    <row r="14" spans="1:9" x14ac:dyDescent="0.25">
      <c r="A14" s="16" t="s">
        <v>128</v>
      </c>
      <c r="B14" s="1">
        <f>0</f>
        <v>0</v>
      </c>
      <c r="C14" s="4" t="s">
        <v>18</v>
      </c>
      <c r="D14" t="s">
        <v>67</v>
      </c>
      <c r="E14" s="5">
        <v>170</v>
      </c>
    </row>
    <row r="15" spans="1:9" x14ac:dyDescent="0.25">
      <c r="A15" s="16" t="s">
        <v>129</v>
      </c>
      <c r="B15" s="1">
        <f>0</f>
        <v>0</v>
      </c>
      <c r="C15" s="4" t="s">
        <v>19</v>
      </c>
      <c r="D15" t="s">
        <v>68</v>
      </c>
      <c r="E15" s="5">
        <v>181</v>
      </c>
      <c r="I15" s="10"/>
    </row>
    <row r="16" spans="1:9" x14ac:dyDescent="0.25">
      <c r="A16" s="16" t="s">
        <v>130</v>
      </c>
      <c r="B16" s="3">
        <f>-E2</f>
        <v>-20000</v>
      </c>
      <c r="C16" s="4" t="s">
        <v>20</v>
      </c>
      <c r="D16" t="s">
        <v>69</v>
      </c>
      <c r="E16" s="5">
        <v>6.8</v>
      </c>
    </row>
    <row r="17" spans="1:14" x14ac:dyDescent="0.25">
      <c r="A17" s="17" t="s">
        <v>124</v>
      </c>
      <c r="B17" s="3">
        <f>E2</f>
        <v>20000</v>
      </c>
      <c r="C17" s="4" t="s">
        <v>21</v>
      </c>
      <c r="D17" t="s">
        <v>70</v>
      </c>
      <c r="E17" s="5">
        <v>0</v>
      </c>
    </row>
    <row r="18" spans="1:14" ht="14.25" customHeight="1" x14ac:dyDescent="0.25">
      <c r="A18" s="17" t="s">
        <v>5</v>
      </c>
      <c r="B18" s="3">
        <f>E3</f>
        <v>0.5</v>
      </c>
      <c r="C18" s="4"/>
      <c r="E18" s="5">
        <v>86</v>
      </c>
      <c r="K18" s="11" t="s">
        <v>131</v>
      </c>
      <c r="L18" s="11"/>
      <c r="M18" s="11"/>
      <c r="N18" s="11"/>
    </row>
    <row r="19" spans="1:14" ht="14.25" customHeight="1" x14ac:dyDescent="0.25">
      <c r="A19" s="17" t="s">
        <v>83</v>
      </c>
      <c r="B19" s="3">
        <f>E16*PI()/180</f>
        <v>0.11868238913561441</v>
      </c>
      <c r="C19" s="4"/>
      <c r="E19" s="5">
        <v>-10</v>
      </c>
      <c r="K19" s="11"/>
      <c r="L19" s="11"/>
      <c r="M19" s="11"/>
      <c r="N19" s="11"/>
    </row>
    <row r="20" spans="1:14" ht="14.25" customHeight="1" x14ac:dyDescent="0.25">
      <c r="A20" s="17" t="s">
        <v>81</v>
      </c>
      <c r="B20" s="3">
        <f>E17*PI()/180</f>
        <v>0</v>
      </c>
      <c r="C20" s="4" t="s">
        <v>22</v>
      </c>
      <c r="D20" t="s">
        <v>71</v>
      </c>
      <c r="E20" s="5">
        <v>2.5</v>
      </c>
      <c r="K20" s="11"/>
      <c r="L20" s="11"/>
      <c r="M20" s="11"/>
      <c r="N20" s="11"/>
    </row>
    <row r="21" spans="1:14" ht="14.25" customHeight="1" x14ac:dyDescent="0.25">
      <c r="A21" s="17" t="s">
        <v>82</v>
      </c>
      <c r="B21" s="1">
        <f>0*PI()/180</f>
        <v>0</v>
      </c>
      <c r="C21" s="4" t="s">
        <v>23</v>
      </c>
      <c r="D21" t="s">
        <v>72</v>
      </c>
      <c r="E21" s="5">
        <v>2.5</v>
      </c>
      <c r="K21" s="11"/>
      <c r="L21" s="11"/>
      <c r="M21" s="11"/>
      <c r="N21" s="11"/>
    </row>
    <row r="22" spans="1:14" ht="15" customHeight="1" thickBot="1" x14ac:dyDescent="0.3">
      <c r="A22" s="18" t="s">
        <v>90</v>
      </c>
      <c r="B22" s="2">
        <f t="shared" ref="B22:B37" si="0">E26</f>
        <v>-2.47E-3</v>
      </c>
      <c r="C22" s="4" t="s">
        <v>24</v>
      </c>
      <c r="D22" t="s">
        <v>73</v>
      </c>
      <c r="E22" s="5">
        <v>10</v>
      </c>
      <c r="K22" s="11"/>
      <c r="L22" s="11"/>
      <c r="M22" s="11"/>
      <c r="N22" s="11"/>
    </row>
    <row r="23" spans="1:14" ht="15" customHeight="1" thickBot="1" x14ac:dyDescent="0.3">
      <c r="A23" s="18" t="s">
        <v>91</v>
      </c>
      <c r="B23" s="2">
        <f t="shared" si="0"/>
        <v>-6.7900000000000002E-2</v>
      </c>
      <c r="C23" s="14" t="s">
        <v>25</v>
      </c>
      <c r="D23" s="14"/>
      <c r="E23" s="14"/>
      <c r="K23" s="11"/>
      <c r="L23" s="11"/>
      <c r="M23" s="11"/>
      <c r="N23" s="11"/>
    </row>
    <row r="24" spans="1:14" x14ac:dyDescent="0.25">
      <c r="A24" s="18" t="s">
        <v>96</v>
      </c>
      <c r="B24" s="2">
        <f t="shared" si="0"/>
        <v>2.4699999999999999E-4</v>
      </c>
      <c r="C24" s="4" t="s">
        <v>26</v>
      </c>
      <c r="D24" t="s">
        <v>59</v>
      </c>
      <c r="E24" s="5">
        <v>20000</v>
      </c>
      <c r="K24" s="11"/>
      <c r="L24" s="11"/>
      <c r="M24" s="11"/>
      <c r="N24" s="11"/>
    </row>
    <row r="25" spans="1:14" x14ac:dyDescent="0.25">
      <c r="A25" s="18" t="s">
        <v>92</v>
      </c>
      <c r="B25" s="2">
        <f t="shared" si="0"/>
        <v>7.8200000000000006E-2</v>
      </c>
      <c r="C25" s="4" t="s">
        <v>27</v>
      </c>
      <c r="D25" t="s">
        <v>60</v>
      </c>
      <c r="E25" s="5">
        <v>0.5</v>
      </c>
    </row>
    <row r="26" spans="1:14" x14ac:dyDescent="0.25">
      <c r="A26" s="18" t="s">
        <v>93</v>
      </c>
      <c r="B26" s="2">
        <f t="shared" si="0"/>
        <v>-0.433</v>
      </c>
      <c r="C26" s="4" t="s">
        <v>28</v>
      </c>
      <c r="D26" t="s">
        <v>74</v>
      </c>
      <c r="E26" s="5">
        <v>-2.47E-3</v>
      </c>
    </row>
    <row r="27" spans="1:14" x14ac:dyDescent="0.25">
      <c r="A27" s="18" t="s">
        <v>97</v>
      </c>
      <c r="B27" s="2">
        <f t="shared" si="0"/>
        <v>-1.6999999999999999E-3</v>
      </c>
      <c r="C27" s="4" t="s">
        <v>29</v>
      </c>
      <c r="D27" t="s">
        <v>74</v>
      </c>
      <c r="E27" s="5">
        <v>-6.7900000000000002E-2</v>
      </c>
    </row>
    <row r="28" spans="1:14" x14ac:dyDescent="0.25">
      <c r="A28" s="18" t="s">
        <v>98</v>
      </c>
      <c r="B28" s="2">
        <f t="shared" si="0"/>
        <v>1.5699999999999999E-2</v>
      </c>
      <c r="C28" s="4" t="s">
        <v>30</v>
      </c>
      <c r="D28" t="s">
        <v>75</v>
      </c>
      <c r="E28" s="5">
        <v>2.4699999999999999E-4</v>
      </c>
    </row>
    <row r="29" spans="1:14" x14ac:dyDescent="0.25">
      <c r="A29" s="18" t="s">
        <v>94</v>
      </c>
      <c r="B29" s="2">
        <f t="shared" si="0"/>
        <v>-6.39</v>
      </c>
      <c r="C29" s="4" t="s">
        <v>31</v>
      </c>
      <c r="D29" t="s">
        <v>74</v>
      </c>
      <c r="E29" s="5">
        <v>7.8200000000000006E-2</v>
      </c>
    </row>
    <row r="30" spans="1:14" x14ac:dyDescent="0.25">
      <c r="A30" s="18" t="s">
        <v>99</v>
      </c>
      <c r="B30" s="2">
        <f t="shared" si="0"/>
        <v>-1.25E-4</v>
      </c>
      <c r="C30" s="4" t="s">
        <v>32</v>
      </c>
      <c r="D30" t="s">
        <v>74</v>
      </c>
      <c r="E30" s="5">
        <v>-0.433</v>
      </c>
    </row>
    <row r="31" spans="1:14" x14ac:dyDescent="0.25">
      <c r="A31" s="18" t="s">
        <v>95</v>
      </c>
      <c r="B31" s="2">
        <f t="shared" si="0"/>
        <v>-0.42099999999999999</v>
      </c>
      <c r="C31" s="4" t="s">
        <v>33</v>
      </c>
      <c r="D31" t="s">
        <v>75</v>
      </c>
      <c r="E31" s="5">
        <v>-1.6999999999999999E-3</v>
      </c>
    </row>
    <row r="32" spans="1:14" x14ac:dyDescent="0.25">
      <c r="A32" s="18" t="s">
        <v>100</v>
      </c>
      <c r="B32" s="2">
        <f t="shared" si="0"/>
        <v>2.02</v>
      </c>
      <c r="C32" s="4" t="s">
        <v>34</v>
      </c>
      <c r="D32" t="s">
        <v>76</v>
      </c>
      <c r="E32" s="5">
        <v>1.5699999999999999E-2</v>
      </c>
    </row>
    <row r="33" spans="1:5" x14ac:dyDescent="0.25">
      <c r="A33" s="18" t="s">
        <v>101</v>
      </c>
      <c r="B33" s="2">
        <f t="shared" si="0"/>
        <v>-16.899999999999999</v>
      </c>
      <c r="C33" s="4" t="s">
        <v>35</v>
      </c>
      <c r="D33" t="s">
        <v>74</v>
      </c>
      <c r="E33" s="5">
        <v>-6.39</v>
      </c>
    </row>
    <row r="34" spans="1:5" x14ac:dyDescent="0.25">
      <c r="A34" s="18" t="s">
        <v>102</v>
      </c>
      <c r="B34" s="2">
        <f t="shared" si="0"/>
        <v>-1.0900000000000001</v>
      </c>
      <c r="C34" s="4" t="s">
        <v>36</v>
      </c>
      <c r="D34" t="s">
        <v>75</v>
      </c>
      <c r="E34" s="5">
        <v>-1.25E-4</v>
      </c>
    </row>
    <row r="35" spans="1:5" x14ac:dyDescent="0.25">
      <c r="A35" s="18" t="s">
        <v>41</v>
      </c>
      <c r="B35" s="2">
        <f t="shared" si="0"/>
        <v>5.0500000000000001E-5</v>
      </c>
      <c r="C35" s="4" t="s">
        <v>37</v>
      </c>
      <c r="D35" t="s">
        <v>74</v>
      </c>
      <c r="E35" s="5">
        <v>-0.42099999999999999</v>
      </c>
    </row>
    <row r="36" spans="1:5" x14ac:dyDescent="0.25">
      <c r="A36" s="18" t="s">
        <v>42</v>
      </c>
      <c r="B36" s="2">
        <f t="shared" si="0"/>
        <v>-2.2000000000000001E-6</v>
      </c>
      <c r="C36" s="4" t="s">
        <v>38</v>
      </c>
      <c r="D36" t="s">
        <v>77</v>
      </c>
      <c r="E36" s="5">
        <v>2.02</v>
      </c>
    </row>
    <row r="37" spans="1:5" x14ac:dyDescent="0.25">
      <c r="A37" s="18" t="s">
        <v>43</v>
      </c>
      <c r="B37" s="2">
        <f t="shared" si="0"/>
        <v>3.0199999999999998E-7</v>
      </c>
      <c r="C37" s="4" t="s">
        <v>39</v>
      </c>
      <c r="D37" t="s">
        <v>77</v>
      </c>
      <c r="E37" s="5">
        <v>-16.899999999999999</v>
      </c>
    </row>
    <row r="38" spans="1:5" x14ac:dyDescent="0.25">
      <c r="A38" s="19" t="s">
        <v>103</v>
      </c>
      <c r="B38" s="3">
        <f t="shared" ref="B38:B46" si="1">E45</f>
        <v>-8.2199999999999995E-2</v>
      </c>
      <c r="C38" s="4" t="s">
        <v>40</v>
      </c>
      <c r="D38" t="s">
        <v>78</v>
      </c>
      <c r="E38" s="5">
        <v>-1.0900000000000001</v>
      </c>
    </row>
    <row r="39" spans="1:5" x14ac:dyDescent="0.25">
      <c r="A39" s="19" t="s">
        <v>104</v>
      </c>
      <c r="B39" s="3">
        <f t="shared" si="1"/>
        <v>-42.6</v>
      </c>
      <c r="C39" s="4" t="s">
        <v>41</v>
      </c>
      <c r="E39" s="5">
        <v>5.0500000000000001E-5</v>
      </c>
    </row>
    <row r="40" spans="1:5" x14ac:dyDescent="0.25">
      <c r="A40" s="19" t="s">
        <v>105</v>
      </c>
      <c r="B40" s="3">
        <f t="shared" si="1"/>
        <v>-2.0499999999999998</v>
      </c>
      <c r="C40" s="4" t="s">
        <v>42</v>
      </c>
      <c r="E40" s="5">
        <v>-2.2000000000000001E-6</v>
      </c>
    </row>
    <row r="41" spans="1:5" ht="15.75" thickBot="1" x14ac:dyDescent="0.3">
      <c r="A41" s="19" t="s">
        <v>106</v>
      </c>
      <c r="B41" s="3">
        <f t="shared" si="1"/>
        <v>0.41899999999999998</v>
      </c>
      <c r="C41" s="4" t="s">
        <v>43</v>
      </c>
      <c r="E41" s="5">
        <v>3.0199999999999998E-7</v>
      </c>
    </row>
    <row r="42" spans="1:5" ht="15.75" thickBot="1" x14ac:dyDescent="0.3">
      <c r="A42" s="19" t="s">
        <v>107</v>
      </c>
      <c r="B42" s="3">
        <f t="shared" si="1"/>
        <v>-0.65200000000000002</v>
      </c>
      <c r="C42" s="14" t="s">
        <v>44</v>
      </c>
      <c r="D42" s="14"/>
      <c r="E42" s="14"/>
    </row>
    <row r="43" spans="1:5" x14ac:dyDescent="0.25">
      <c r="A43" s="19" t="s">
        <v>108</v>
      </c>
      <c r="B43" s="3">
        <f t="shared" si="1"/>
        <v>-7.0099999999999996E-2</v>
      </c>
      <c r="C43" s="4" t="s">
        <v>26</v>
      </c>
      <c r="D43" t="s">
        <v>59</v>
      </c>
      <c r="E43" s="5">
        <v>20000</v>
      </c>
    </row>
    <row r="44" spans="1:5" x14ac:dyDescent="0.25">
      <c r="A44" s="19" t="s">
        <v>109</v>
      </c>
      <c r="B44" s="3">
        <f t="shared" si="1"/>
        <v>0.376</v>
      </c>
      <c r="C44" s="4" t="s">
        <v>27</v>
      </c>
      <c r="D44" t="s">
        <v>60</v>
      </c>
      <c r="E44" s="5">
        <v>0.5</v>
      </c>
    </row>
    <row r="45" spans="1:5" x14ac:dyDescent="0.25">
      <c r="A45" s="19" t="s">
        <v>110</v>
      </c>
      <c r="B45" s="3">
        <f t="shared" si="1"/>
        <v>-0.14000000000000001</v>
      </c>
      <c r="C45" s="4" t="s">
        <v>45</v>
      </c>
      <c r="D45" t="s">
        <v>74</v>
      </c>
      <c r="E45" s="5">
        <v>-8.2199999999999995E-2</v>
      </c>
    </row>
    <row r="46" spans="1:5" x14ac:dyDescent="0.25">
      <c r="A46" s="19" t="s">
        <v>111</v>
      </c>
      <c r="B46" s="3">
        <f t="shared" si="1"/>
        <v>0</v>
      </c>
      <c r="C46" s="4" t="s">
        <v>46</v>
      </c>
      <c r="D46" t="s">
        <v>79</v>
      </c>
      <c r="E46" s="5">
        <v>-42.6</v>
      </c>
    </row>
    <row r="47" spans="1:5" x14ac:dyDescent="0.25">
      <c r="A47" s="19" t="s">
        <v>112</v>
      </c>
      <c r="B47" s="2">
        <f>E56</f>
        <v>1.3100000000000001E-2</v>
      </c>
      <c r="C47" s="4" t="s">
        <v>47</v>
      </c>
      <c r="D47" t="s">
        <v>76</v>
      </c>
      <c r="E47" s="5">
        <v>-2.0499999999999998</v>
      </c>
    </row>
    <row r="48" spans="1:5" x14ac:dyDescent="0.25">
      <c r="A48" s="19" t="s">
        <v>113</v>
      </c>
      <c r="B48" s="3">
        <f>E54</f>
        <v>0.128</v>
      </c>
      <c r="C48" s="4" t="s">
        <v>48</v>
      </c>
      <c r="D48" t="s">
        <v>80</v>
      </c>
      <c r="E48" s="5">
        <v>0.41899999999999998</v>
      </c>
    </row>
    <row r="49" spans="1:6" x14ac:dyDescent="0.25">
      <c r="A49" s="19" t="s">
        <v>114</v>
      </c>
      <c r="B49" s="3">
        <f>E55</f>
        <v>1.77E-2</v>
      </c>
      <c r="C49" s="4" t="s">
        <v>49</v>
      </c>
      <c r="D49" t="s">
        <v>74</v>
      </c>
      <c r="E49" s="5">
        <v>-0.65200000000000002</v>
      </c>
    </row>
    <row r="50" spans="1:6" x14ac:dyDescent="0.25">
      <c r="A50" s="19" t="s">
        <v>115</v>
      </c>
      <c r="B50" s="3">
        <f>E57</f>
        <v>0.14799999999999999</v>
      </c>
      <c r="C50" s="4" t="s">
        <v>50</v>
      </c>
      <c r="D50" t="s">
        <v>74</v>
      </c>
      <c r="E50" s="5">
        <v>-7.0099999999999996E-2</v>
      </c>
    </row>
    <row r="51" spans="1:6" x14ac:dyDescent="0.25">
      <c r="A51" s="19" t="s">
        <v>116</v>
      </c>
      <c r="B51" s="3">
        <f>E58</f>
        <v>-0.38100000000000001</v>
      </c>
      <c r="C51" s="4" t="s">
        <v>51</v>
      </c>
      <c r="D51" t="s">
        <v>74</v>
      </c>
      <c r="E51" s="5">
        <v>0.376</v>
      </c>
    </row>
    <row r="52" spans="1:6" x14ac:dyDescent="0.25">
      <c r="A52" s="20" t="s">
        <v>117</v>
      </c>
      <c r="B52" s="1">
        <f>E7/B53</f>
        <v>19787.250905621146</v>
      </c>
      <c r="C52" s="4" t="s">
        <v>52</v>
      </c>
      <c r="D52" t="s">
        <v>74</v>
      </c>
      <c r="E52" s="5">
        <v>-0.14000000000000001</v>
      </c>
    </row>
    <row r="53" spans="1:6" x14ac:dyDescent="0.25">
      <c r="A53" s="20" t="s">
        <v>118</v>
      </c>
      <c r="B53" s="1">
        <v>32.174050000000001</v>
      </c>
      <c r="C53" s="4" t="s">
        <v>55</v>
      </c>
      <c r="D53" t="s">
        <v>74</v>
      </c>
      <c r="E53" s="5">
        <v>0</v>
      </c>
    </row>
    <row r="54" spans="1:6" x14ac:dyDescent="0.25">
      <c r="A54" s="20" t="s">
        <v>119</v>
      </c>
      <c r="B54" s="3">
        <f>E9</f>
        <v>18200000</v>
      </c>
      <c r="C54" s="4" t="s">
        <v>54</v>
      </c>
      <c r="D54" t="s">
        <v>76</v>
      </c>
      <c r="E54" s="5">
        <v>0.128</v>
      </c>
    </row>
    <row r="55" spans="1:6" x14ac:dyDescent="0.25">
      <c r="A55" s="20" t="s">
        <v>120</v>
      </c>
      <c r="B55" s="3">
        <f>E10</f>
        <v>33100000</v>
      </c>
      <c r="C55" s="4" t="s">
        <v>56</v>
      </c>
      <c r="D55" t="s">
        <v>76</v>
      </c>
      <c r="E55" s="5">
        <v>1.77E-2</v>
      </c>
    </row>
    <row r="56" spans="1:6" x14ac:dyDescent="0.25">
      <c r="A56" s="20" t="s">
        <v>121</v>
      </c>
      <c r="B56" s="3">
        <f>E11</f>
        <v>49700000</v>
      </c>
      <c r="C56" s="4" t="s">
        <v>53</v>
      </c>
      <c r="D56" t="s">
        <v>74</v>
      </c>
      <c r="E56" s="5">
        <v>1.3100000000000001E-2</v>
      </c>
    </row>
    <row r="57" spans="1:6" x14ac:dyDescent="0.25">
      <c r="A57" s="20" t="s">
        <v>122</v>
      </c>
      <c r="B57" s="3">
        <f>E12</f>
        <v>970056</v>
      </c>
      <c r="C57" s="4" t="s">
        <v>57</v>
      </c>
      <c r="D57" t="s">
        <v>76</v>
      </c>
      <c r="E57" s="5">
        <v>0.14799999999999999</v>
      </c>
    </row>
    <row r="58" spans="1:6" ht="15.75" thickBot="1" x14ac:dyDescent="0.3">
      <c r="A58" s="21" t="s">
        <v>133</v>
      </c>
      <c r="B58" s="1">
        <v>0</v>
      </c>
      <c r="C58" s="7" t="s">
        <v>58</v>
      </c>
      <c r="D58" s="8" t="s">
        <v>76</v>
      </c>
      <c r="E58" s="9">
        <v>-0.38100000000000001</v>
      </c>
    </row>
    <row r="59" spans="1:6" x14ac:dyDescent="0.25">
      <c r="A59" s="21" t="s">
        <v>134</v>
      </c>
      <c r="B59" s="1">
        <v>0</v>
      </c>
    </row>
    <row r="60" spans="1:6" x14ac:dyDescent="0.25">
      <c r="A60" s="21" t="s">
        <v>135</v>
      </c>
      <c r="B60" s="1">
        <v>5</v>
      </c>
    </row>
    <row r="61" spans="1:6" ht="15" customHeight="1" x14ac:dyDescent="0.25">
      <c r="A61" s="21" t="s">
        <v>123</v>
      </c>
      <c r="B61" s="1">
        <v>0</v>
      </c>
      <c r="C61" s="22" t="s">
        <v>132</v>
      </c>
      <c r="D61" s="22"/>
      <c r="E61" s="22"/>
      <c r="F61" s="22"/>
    </row>
    <row r="62" spans="1:6" ht="15" customHeight="1" x14ac:dyDescent="0.25">
      <c r="B62" s="1"/>
      <c r="C62" s="22"/>
      <c r="D62" s="22"/>
      <c r="E62" s="22"/>
      <c r="F62" s="22"/>
    </row>
    <row r="63" spans="1:6" ht="15" customHeight="1" x14ac:dyDescent="0.25">
      <c r="B63" s="1"/>
      <c r="C63" s="22"/>
      <c r="D63" s="22"/>
      <c r="E63" s="22"/>
      <c r="F63" s="22"/>
    </row>
    <row r="64" spans="1:6" ht="39" customHeight="1" x14ac:dyDescent="0.25">
      <c r="B64" s="1"/>
      <c r="C64" s="22"/>
      <c r="D64" s="22"/>
      <c r="E64" s="22"/>
      <c r="F64" s="22"/>
    </row>
    <row r="65" spans="2:6" ht="15" customHeight="1" x14ac:dyDescent="0.25">
      <c r="B65" s="1"/>
      <c r="C65" s="23" t="s">
        <v>136</v>
      </c>
      <c r="D65" s="23"/>
      <c r="E65" s="23"/>
      <c r="F65" s="23"/>
    </row>
    <row r="66" spans="2:6" ht="15" customHeight="1" x14ac:dyDescent="0.25">
      <c r="B66" s="1"/>
      <c r="C66" s="23"/>
      <c r="D66" s="23"/>
      <c r="E66" s="23"/>
      <c r="F66" s="23"/>
    </row>
    <row r="67" spans="2:6" ht="15" customHeight="1" x14ac:dyDescent="0.25">
      <c r="B67" s="1"/>
      <c r="C67" s="23"/>
      <c r="D67" s="23"/>
      <c r="E67" s="23"/>
      <c r="F67" s="23"/>
    </row>
    <row r="68" spans="2:6" ht="15" customHeight="1" x14ac:dyDescent="0.25">
      <c r="B68" s="1"/>
      <c r="C68" s="23"/>
      <c r="D68" s="23"/>
      <c r="E68" s="23"/>
      <c r="F68" s="23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2025-03-01T13:05:22Z</dcterms:modified>
</cp:coreProperties>
</file>